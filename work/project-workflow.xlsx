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وضعیت" sheetId="1" r:id="rId5"/>
    <sheet state="visible" name="تسک‌ها" sheetId="2" r:id="rId6"/>
    <sheet state="visible" name="راهنمای فایل" sheetId="3" r:id="rId7"/>
    <sheet state="visible" name="مدیریت پروژه" sheetId="4" r:id="rId8"/>
    <sheet state="visible" name="پالت رنگی" sheetId="5" r:id="rId9"/>
  </sheets>
  <definedNames/>
  <calcPr/>
</workbook>
</file>

<file path=xl/sharedStrings.xml><?xml version="1.0" encoding="utf-8"?>
<sst xmlns="http://schemas.openxmlformats.org/spreadsheetml/2006/main" count="463" uniqueCount="357">
  <si>
    <t>تسک‌ها</t>
  </si>
  <si>
    <t>مدیریت پروژه</t>
  </si>
  <si>
    <t>راهنمای فایل</t>
  </si>
  <si>
    <t>وضعیت پروژه — سامانه مدیریت فایل</t>
  </si>
  <si>
    <t>این فهرست پس از هر تغییر در پروژه به‌روزرسانی می‌شود تا محل و کارکرد هر دارایی مشخص بماند.</t>
  </si>
  <si>
    <t>تمام کارهای پروژه باید معیار پذیرش روشن داشته باشند؛ وضعیت را فقط از فهرست‌های همین ستون انتخاب کنید.</t>
  </si>
  <si>
    <t>مرجع لحظه‌ای پیشرفت حوزه‌های پروژه؛ با تغییر وضعیت تسک‌ها و خروجی‌ها به‌روزرسانی شود.</t>
  </si>
  <si>
    <t>ترتیب اجرایی پیشنهادی نسخه نخست در حداکثر ۲۱ روز تقویمی؛ هر گام پس از تأیید معیار خروج وارد گام بعد می‌شود.</t>
  </si>
  <si>
    <t>مسیر فایل</t>
  </si>
  <si>
    <t>ID</t>
  </si>
  <si>
    <t>تعداد کل تسک‌ها</t>
  </si>
  <si>
    <t>گام</t>
  </si>
  <si>
    <t>اولویت</t>
  </si>
  <si>
    <t>تکمیل‌شده</t>
  </si>
  <si>
    <t>تسک</t>
  </si>
  <si>
    <t>در حال انجام</t>
  </si>
  <si>
    <t>معیار پذیرش</t>
  </si>
  <si>
    <t>هدف</t>
  </si>
  <si>
    <t>در انتظار شروع</t>
  </si>
  <si>
    <t>توضیحات</t>
  </si>
  <si>
    <t>فعالیت کلیدی</t>
  </si>
  <si>
    <t>وضعیت</t>
  </si>
  <si>
    <t>خروجی</t>
  </si>
  <si>
    <t>نوع فایل</t>
  </si>
  <si>
    <t>مسئول</t>
  </si>
  <si>
    <t>لایه / دسته</t>
  </si>
  <si>
    <t>وابستگی</t>
  </si>
  <si>
    <t>خلاصه عملکرد</t>
  </si>
  <si>
    <t>T-001</t>
  </si>
  <si>
    <t>بازه پیشنهادی</t>
  </si>
  <si>
    <t>معیار خروج</t>
  </si>
  <si>
    <t>/README.md</t>
  </si>
  <si>
    <t>Markdown</t>
  </si>
  <si>
    <t>۱. آغاز</t>
  </si>
  <si>
    <t>راهنما</t>
  </si>
  <si>
    <t>توافق بر دامنه و روش همکاری</t>
  </si>
  <si>
    <t>معرفی پروژه، پیش‌نیازها و روش اجرای محلی.</t>
  </si>
  <si>
    <t>فوری</t>
  </si>
  <si>
    <t>جلسه شروع، معرفی نمایندگان و ثبت فرضیات</t>
  </si>
  <si>
    <t>برنامه آغاز و نقش‌ها</t>
  </si>
  <si>
    <t>/docs/requirements.md</t>
  </si>
  <si>
    <t>تکمیل و تأیید نیازمندی‌های نسخه نخست</t>
  </si>
  <si>
    <t>کارفرما + مجری</t>
  </si>
  <si>
    <t>ماده ۲ قرارداد و موارد خارج از محدوده تأیید کتبی شوند.</t>
  </si>
  <si>
    <t>امضای قرارداد</t>
  </si>
  <si>
    <t>مستندات محصول</t>
  </si>
  <si>
    <t>تعداد کاربران، گروه‌ها، حجم فایل و فرمت‌های مجاز مشخص شود.</t>
  </si>
  <si>
    <t>روز ۱</t>
  </si>
  <si>
    <t>نیازمندی‌های تأییدشده، نقش‌ها، محدوده و معیارهای پذیرش.</t>
  </si>
  <si>
    <t>نماینده تصمیم‌گیر و اطلاعات اولیه معرفی شده‌اند.</t>
  </si>
  <si>
    <t>/docs/architecture.md</t>
  </si>
  <si>
    <t>مستندات فنی</t>
  </si>
  <si>
    <t>تصمیم‌های معماری، اجزا، مدل داده و جریان دسترسی.</t>
  </si>
  <si>
    <t>T-002</t>
  </si>
  <si>
    <t>/docs/deployment-guide.md</t>
  </si>
  <si>
    <t>استقرار</t>
  </si>
  <si>
    <t>تعیین نماینده تصمیم‌گیر کارفرما</t>
  </si>
  <si>
    <t>راهنمای استقرار، پیکربندی محیط، HTTPS و عملیات پس از انتشار.</t>
  </si>
  <si>
    <t>نام و راه ارتباطی یک نماینده رسمی ثبت شود.</t>
  </si>
  <si>
    <t>مرجع تأیید تحلیل، طراحی و پذیرش.</t>
  </si>
  <si>
    <t>/docs/backup-recovery.md</t>
  </si>
  <si>
    <t>۲. تحلیل</t>
  </si>
  <si>
    <t>عملیات</t>
  </si>
  <si>
    <t>T-003</t>
  </si>
  <si>
    <t>تبدیل نیاز کسب‌وکار به مشخصات قابل ساخت</t>
  </si>
  <si>
    <t>برنامه پشتیبان‌گیری و مراحل بازیابی آزمایشی.</t>
  </si>
  <si>
    <t>نقش‌ها، جریان فایل، فرمت و حجم مجاز، معیار پذیرش</t>
  </si>
  <si>
    <t>تأیید مدل نقش‌ها و سطح دسترسی</t>
  </si>
  <si>
    <t>نیازمندی‌های تأییدشده</t>
  </si>
  <si>
    <t>/docs/admin-guide.md</t>
  </si>
  <si>
    <t>تعریف نقش‌های مدیر سامانه، مدیر گروه، کاربر و مشاهده‌گر تأیید شود.</t>
  </si>
  <si>
    <t>مجری + کارفرما</t>
  </si>
  <si>
    <t>فهرست دقیق عملیات هر نقش ضمیمه تحلیل می‌شود.</t>
  </si>
  <si>
    <t>گام ۱</t>
  </si>
  <si>
    <t>راهنمای کاربر</t>
  </si>
  <si>
    <t>روز ۲ تا ۴</t>
  </si>
  <si>
    <t>راهنمای مدیر برای کاربران، گروه‌ها، فایل‌ها و گزارش رخداد.</t>
  </si>
  <si>
    <t>سند نیازمندی‌ها تأیید کتبی دارد.</t>
  </si>
  <si>
    <t>T-004</t>
  </si>
  <si>
    <t>/docs/CHANGELOG.md</t>
  </si>
  <si>
    <t>بالا</t>
  </si>
  <si>
    <t>تعیین سیاست فرمت و حجم فایل</t>
  </si>
  <si>
    <t>۳. طراحی</t>
  </si>
  <si>
    <t>لیست فرمت‌های مجاز و حداکثر حجم هر فایل ثبت شود.</t>
  </si>
  <si>
    <t>تأیید تجربه کاربر و معماری</t>
  </si>
  <si>
    <t>پیشنهاد اولیه: TXT، PDF، DOCX، XLSX، PPTX.</t>
  </si>
  <si>
    <t>نمونه صفحات و مدل داده / زیرساخت</t>
  </si>
  <si>
    <t>طرح رابط و معماری</t>
  </si>
  <si>
    <t>مستندات</t>
  </si>
  <si>
    <t>مجری</t>
  </si>
  <si>
    <t>T-005</t>
  </si>
  <si>
    <t>گام ۲</t>
  </si>
  <si>
    <t>ثبت خلاصه تغییرات نسخه‌ها و تاریخ اعمال هر تغییر.</t>
  </si>
  <si>
    <t>روز ۵ تا ۶</t>
  </si>
  <si>
    <t>کارفرما نمونه رابط و معماری را تأیید کرده است.</t>
  </si>
  <si>
    <t>انتخاب نام و دامنه سامانه</t>
  </si>
  <si>
    <t>دامنه یا زیردامنه قابل استفاده مشخص شود.</t>
  </si>
  <si>
    <t>/backend/</t>
  </si>
  <si>
    <t>نمونه: files.example.ir.</t>
  </si>
  <si>
    <t>پوشه کد</t>
  </si>
  <si>
    <t>۴. توسعه هسته</t>
  </si>
  <si>
    <t>بک‌اند</t>
  </si>
  <si>
    <t>پیاده‌سازی امنیت، هویت و دسترسی</t>
  </si>
  <si>
    <t>T-006</t>
  </si>
  <si>
    <t>کاربران، نقش‌ها، گروه‌ها، فایل و رویداد</t>
  </si>
  <si>
    <t>API، منطق کسب‌وکار، کنترل دسترسی و اتصال پایگاه داده.</t>
  </si>
  <si>
    <t>API و پایگاه داده نسخه آزمایشی</t>
  </si>
  <si>
    <t>تهیه سرور و فضای ذخیره‌سازی</t>
  </si>
  <si>
    <t>/backend/app/models/</t>
  </si>
  <si>
    <t>گام ۳</t>
  </si>
  <si>
    <t>دسترسی مدیریت سرور و ظرفیت اولیه فراهم شود.</t>
  </si>
  <si>
    <t>روز ۷ تا ۱۲</t>
  </si>
  <si>
    <t>داده</t>
  </si>
  <si>
    <t>پیشنهاد اولیه: ۲ vCPU، ۴GB RAM و ۱۰۰GB SSD.</t>
  </si>
  <si>
    <t>سناریوهای مجوز و ثبت رخداد عبور می‌کنند.</t>
  </si>
  <si>
    <t>مدل‌های کاربران، گروه‌ها، فایل‌ها، مجوزها و رخدادها.</t>
  </si>
  <si>
    <t>T-007</t>
  </si>
  <si>
    <t>۵. توسعه رابط</t>
  </si>
  <si>
    <t>/backend/app/api/</t>
  </si>
  <si>
    <t>حوزه</t>
  </si>
  <si>
    <t>طراحی معماری و مدل داده</t>
  </si>
  <si>
    <t>ارائه تجربه کامل کاربر و مدیر</t>
  </si>
  <si>
    <t>وضعیت فعلی</t>
  </si>
  <si>
    <t>نمودار داده و تصمیم ذخیره‌سازی تأیید شوند.</t>
  </si>
  <si>
    <t>صفحات فایل، بارگذاری، دریافت و پنل مدیریت</t>
  </si>
  <si>
    <t>API</t>
  </si>
  <si>
    <t>مالک</t>
  </si>
  <si>
    <t>کاربران، گروه‌ها، فایل‌ها، مجوزها و رویدادها.</t>
  </si>
  <si>
    <t>نسخه یکپارچه آزمایشی</t>
  </si>
  <si>
    <t>مسیرهای ورود، مدیریت فایل، کاربران، گروه‌ها و گزارش‌ها.</t>
  </si>
  <si>
    <t>درصد پیشرفت</t>
  </si>
  <si>
    <t>آخرین به‌روزرسانی</t>
  </si>
  <si>
    <t>گام ۴</t>
  </si>
  <si>
    <t>/frontend/</t>
  </si>
  <si>
    <t>گام بعد</t>
  </si>
  <si>
    <t>روز ۱۳ تا ۱۶</t>
  </si>
  <si>
    <t>T-008</t>
  </si>
  <si>
    <t>مانع / ریسک</t>
  </si>
  <si>
    <t>مسیرهای اصلی بدون خطای بحرانی قابل استفاده‌اند.</t>
  </si>
  <si>
    <t>فرانت‌اند</t>
  </si>
  <si>
    <t>یادداشت</t>
  </si>
  <si>
    <t>رابط کاربری کاربر و پنل مدیریت.</t>
  </si>
  <si>
    <t>طراحی صفحه ورود و بازیابی دسترسی</t>
  </si>
  <si>
    <t>نمونه رابط کاربری توسط کارفرما تأیید شود.</t>
  </si>
  <si>
    <t>۶. آزمون</t>
  </si>
  <si>
    <t>تعریف دامنه</t>
  </si>
  <si>
    <t>/infra/</t>
  </si>
  <si>
    <t>بدون ذخیره رمز به‌صورت متن ساده.</t>
  </si>
  <si>
    <t>رفع ریسک‌های عملکرد و امنیت پایه</t>
  </si>
  <si>
    <t>پوشه پیکربندی</t>
  </si>
  <si>
    <t>آزمون AC-01 تا AC-08، رفع اشکال و بازبینی مستندات</t>
  </si>
  <si>
    <t>زیرساخت</t>
  </si>
  <si>
    <t>گزارش آزمون و نسخه RC</t>
  </si>
  <si>
    <t>تنظیمات استقرار، Reverse Proxy و عملیات محیط سرور.</t>
  </si>
  <si>
    <t>T-009</t>
  </si>
  <si>
    <t>گام ۵</t>
  </si>
  <si>
    <t>/tests/</t>
  </si>
  <si>
    <t>روز ۱۷ تا ۱۸</t>
  </si>
  <si>
    <t>طراحی صفحه فهرست و جزئیات فایل</t>
  </si>
  <si>
    <t>پوشه آزمون</t>
  </si>
  <si>
    <t>خطای بحرانی و مهم باز وجود ندارد.</t>
  </si>
  <si>
    <t>کاربر بتواند فقط فایل‌های مجاز را ببیند و دریافت کند.</t>
  </si>
  <si>
    <t>کیفیت</t>
  </si>
  <si>
    <t>فیلتر و جست‌وجوی پایه در نسخه نخست.</t>
  </si>
  <si>
    <t>آزمون‌های واحد، یکپارچه و سناریوهای پذیرش.</t>
  </si>
  <si>
    <t>۷. استقرار</t>
  </si>
  <si>
    <t>/work/project-workflow.xlsx</t>
  </si>
  <si>
    <t>T-010</t>
  </si>
  <si>
    <t>راه‌اندازی امن روی زیرساخت واقعی</t>
  </si>
  <si>
    <t>Excel / Google Sheet</t>
  </si>
  <si>
    <t>دامنه، HTTPS، پشتیبان‌گیری و کنترل دسترسی‌ها</t>
  </si>
  <si>
    <t>طراحی پنل مدیریت</t>
  </si>
  <si>
    <t>نسخه منتشرشده</t>
  </si>
  <si>
    <t>دفترکار وضعیت، تسک‌ها، راهنمای فایل، گام‌های پروژه و پالت رنگ.</t>
  </si>
  <si>
    <t>صفحات کاربران، گروه‌ها، دسترسی‌ها و رخدادها تأیید شوند.</t>
  </si>
  <si>
    <t>سرور و دامنه</t>
  </si>
  <si>
    <t>مدیریت فایل و سیاست حجم / فرمت نیز در پنل پیش‌بینی شود.</t>
  </si>
  <si>
    <t>روز ۱۹ تا ۲۰</t>
  </si>
  <si>
    <t>سامانه با HTTPS و پشتیبان‌گیری آزمایشی در دسترس است.</t>
  </si>
  <si>
    <t>۸. پذیرش و تحویل</t>
  </si>
  <si>
    <t>تحویل قابل اتکا به کارفرما</t>
  </si>
  <si>
    <t>۲۰ مرداد ۱۴۰۵</t>
  </si>
  <si>
    <t>T-011</t>
  </si>
  <si>
    <t>آموزش مدیر، تحویل کد، راهنما و دسترسی‌ها</t>
  </si>
  <si>
    <t>تأیید نیازمندی‌ها و موارد خارج از محدوده</t>
  </si>
  <si>
    <t>صورت‌جلسه پذیرش و تحویل</t>
  </si>
  <si>
    <t>تصمیم‌گیری درباره نقش‌ها و سقف فایل</t>
  </si>
  <si>
    <t>نسخه نخست بر مدیریت فایل و دسترسی متمرکز است.</t>
  </si>
  <si>
    <t>پیاده‌سازی احراز هویت و مدیریت نشست</t>
  </si>
  <si>
    <t>گام ۷</t>
  </si>
  <si>
    <t>ورود / خروج امن و نقش کاربر در سمت سرور کنترل شود.</t>
  </si>
  <si>
    <t>روز ۲۱</t>
  </si>
  <si>
    <t>رابط کاربری و تجربه کاربر</t>
  </si>
  <si>
    <t>تسک‌های پذیرش تکمیل و خروجی‌ها تحویل شده‌اند.</t>
  </si>
  <si>
    <t>هش گذرواژه و نشست امن الزامی است.</t>
  </si>
  <si>
    <t>۹. ضمانت و پشتیبانی</t>
  </si>
  <si>
    <t>T-012</t>
  </si>
  <si>
    <t>—</t>
  </si>
  <si>
    <t>اصلاح و پشتیبانی فنی پس از تحویل</t>
  </si>
  <si>
    <t>اصلاح موارد مورد تأیید کارفرما در هفته نخست؛ پشتیبانی فنی سامانه تا یک سال</t>
  </si>
  <si>
    <t>پیاده‌سازی نقش‌ها و مجوزهای فایل</t>
  </si>
  <si>
    <t>طراحی صفحات ورود، فایل‌ها و پنل مدیریت</t>
  </si>
  <si>
    <t>نسخه اصلاح‌شده و گزارش پشتیبانی</t>
  </si>
  <si>
    <t>نیاز به لوگوی اصلی و تأیید نام برند</t>
  </si>
  <si>
    <t>سناریوی کاربر مجاز و غیرمجاز در آزمون عبور کند.</t>
  </si>
  <si>
    <t>پالت موقت با سرمه‌ای و سفید تعریف شده است.</t>
  </si>
  <si>
    <t>پذیرش نهایی</t>
  </si>
  <si>
    <t>مجوزهای مشاهده، دریافت، بارگذاری و مدیریت.</t>
  </si>
  <si>
    <t>یک هفته اصلاح + یک سال پس از تحویل</t>
  </si>
  <si>
    <t>بک‌اند و API</t>
  </si>
  <si>
    <t>موارد تأییدشده در هفته نخست اصلاح و وضعیت پشتیبانی فنی تا پایان دوره ثبت شده است.</t>
  </si>
  <si>
    <t>T-013</t>
  </si>
  <si>
    <t>تعریف مدل کاربران، گروه‌ها، فایل‌ها و رویدادها</t>
  </si>
  <si>
    <t>پیاده‌سازی بارگذاری و دریافت فایل</t>
  </si>
  <si>
    <t>تأیید فهرست فرمت‌های مجاز</t>
  </si>
  <si>
    <t>اعتبارسنجی فرمت و حجم و ثبت اطلاعات فایل انجام شود.</t>
  </si>
  <si>
    <t>FastAPI / PostgreSQL به‌عنوان پیشنهاد اولیه ثبت شده است.</t>
  </si>
  <si>
    <t>مسیر ذخیره‌سازی نباید مستقیماً در اختیار کاربر باشد.</t>
  </si>
  <si>
    <t>احراز هویت و دسترسی</t>
  </si>
  <si>
    <t>T-014</t>
  </si>
  <si>
    <t>نیاز به تصمیم درباره SSO یا ورود محلی</t>
  </si>
  <si>
    <t>SSO در نسخه نخست خارج از محدوده پیش‌فرض است.</t>
  </si>
  <si>
    <t>ذخیره‌سازی و پشتیبان‌گیری</t>
  </si>
  <si>
    <t>انتخاب ظرفیت و محل پشتیبان</t>
  </si>
  <si>
    <t>تأمین سرور و فضای ذخیره</t>
  </si>
  <si>
    <t>پیشنهاد: ذخیره روی سرور به همراه نسخه پشتیبان جداگانه.</t>
  </si>
  <si>
    <t>پیاده‌سازی مدیریت کاربران و گروه‌ها</t>
  </si>
  <si>
    <t>مدیر بتواند کاربر و گروه ایجاد، ویرایش و غیرفعال کند.</t>
  </si>
  <si>
    <t>زیرساخت و استقرار</t>
  </si>
  <si>
    <t>ثبت تغییرات مهم در لاگ.</t>
  </si>
  <si>
    <t>تأمین دامنه و سرور؛ تنظیم HTTPS</t>
  </si>
  <si>
    <t>T-015</t>
  </si>
  <si>
    <t>اطلاعات دامنه و سرور</t>
  </si>
  <si>
    <t>هزینه سرویس‌ها خارج از مبلغ توسعه است.</t>
  </si>
  <si>
    <t>پیاده‌سازی گزارش رخداد</t>
  </si>
  <si>
    <t>آزمون و پذیرش</t>
  </si>
  <si>
    <t>رخدادهای ورود، دریافت و بارگذاری با تاریخ و کاربر دیده شوند.</t>
  </si>
  <si>
    <t>فیلتر پایه برای مدیر سامانه.</t>
  </si>
  <si>
    <t>اجرای سناریوهای AC-01 تا AC-08</t>
  </si>
  <si>
    <t>داده آزمایشی و نماینده پذیرش</t>
  </si>
  <si>
    <t>T-016</t>
  </si>
  <si>
    <t>نتایج در همین شیت ثبت و پیگیری می‌شوند.</t>
  </si>
  <si>
    <t>مستندات و تحویل</t>
  </si>
  <si>
    <t>تنظیم HTTPS و Reverse Proxy</t>
  </si>
  <si>
    <t>سامانه فقط با HTTPS در دسترس باشد.</t>
  </si>
  <si>
    <t>گواهی و تنظیم تمدید باید مستند شوند.</t>
  </si>
  <si>
    <t>راهنمای مدیر، استقرار و بازیابی</t>
  </si>
  <si>
    <t>ساختار پوشه پروژه</t>
  </si>
  <si>
    <t>T-017</t>
  </si>
  <si>
    <t>راهنمای فایل پس از هر تغییر باید به‌روز شود.</t>
  </si>
  <si>
    <t>تنظیم برنامه پشتیبان‌گیری</t>
  </si>
  <si>
    <t>بکاپ دیتابیس و فایل‌ها در محل جدا ثبت و بازیابی آزمایشی شود.</t>
  </si>
  <si>
    <t>تناوب و محل نگهداری با کارفرما توافق می‌شود.</t>
  </si>
  <si>
    <t>T-018</t>
  </si>
  <si>
    <t>آزمون دسترسی و امنیت پایه</t>
  </si>
  <si>
    <t>AC-01 تا AC-08 بدون خطای بحرانی عبور کنند.</t>
  </si>
  <si>
    <t>ثبت نتیجه آزمون در وضعیت پروژه.</t>
  </si>
  <si>
    <t>T-019</t>
  </si>
  <si>
    <t>تدوین راهنمای مدیر سامانه</t>
  </si>
  <si>
    <t>راهنما شامل کاربر، گروه، فایل، لاگ و رفع خطای پایه باشد.</t>
  </si>
  <si>
    <t>فایل راهنما با هر تغییر قابلیت به‌روز شدن دارد.</t>
  </si>
  <si>
    <t>T-020</t>
  </si>
  <si>
    <t>تدوین راهنمای استقرار و بازیابی</t>
  </si>
  <si>
    <t>دستورالعمل نصب، متغیرهای محیطی و بازیابی قابل اجرا باشد.</t>
  </si>
  <si>
    <t>اطلاعات محرمانه داخل مخزن کد ثبت نشود.</t>
  </si>
  <si>
    <t>T-021</t>
  </si>
  <si>
    <t>متوسط</t>
  </si>
  <si>
    <t>آموزش مدیر سامانه</t>
  </si>
  <si>
    <t>جلسه کوتاه آموزش و پرسش و پاسخ انجام شود.</t>
  </si>
  <si>
    <t>پس از استقرار نسخه نهایی.</t>
  </si>
  <si>
    <t>T-022</t>
  </si>
  <si>
    <t>تحویل کد، مستندات و دسترسی‌ها</t>
  </si>
  <si>
    <t>مالکیت و راهنمای دسترسی‌ها به کارفرما منتقل شود.</t>
  </si>
  <si>
    <t>پس از تسویه مرحله نهایی.</t>
  </si>
  <si>
    <t>T-023</t>
  </si>
  <si>
    <t>بازبینی پشتیبانی فنی پس از تحویل</t>
  </si>
  <si>
    <t>مسیر ثبت درخواست، مسئول پاسخ‌گویی و پوشش یک‌ساله پشتیبانی فنی ثبت شود.</t>
  </si>
  <si>
    <t>پشتیبانی فنی سامانه تا یک سال پس از تحویل، طبق قرارداد.</t>
  </si>
  <si>
    <t>T-024</t>
  </si>
  <si>
    <t>به‌روزرسانی راهنمای فایل</t>
  </si>
  <si>
    <t>بعد از هر تغییر، مسیر / نوع / لایه / خلاصه عملکرد بروز شود.</t>
  </si>
  <si>
    <t>مسئولیت مستندسازی: مجری؛ بازبینی: کارفرما.</t>
  </si>
  <si>
    <t>T-025</t>
  </si>
  <si>
    <t>تعریف و پیاده‌سازی داشبورد مدیریتی و گزارش مصرف</t>
  </si>
  <si>
    <t>مدیر سامانه بتواند تعداد کاربران و کاربران فعال، تعداد مشاهده و دریافت، فعالیت هر کاربر برحسب گزارش و موضوع، و گزارش‌ها و موضوعات پرمراجعه را با فیلتر بازه زمانی مشاهده کند.</t>
  </si>
  <si>
    <t>داشبورد شامل شاخص‌های کلیدی و جدول جزئیات «کاربر، گزارش/فایل، موضوع، نوع رویداد، زمان» باشد؛ خروجی فقط برای مدیر سامانه در دسترس باشد.</t>
  </si>
  <si>
    <t>T-026</t>
  </si>
  <si>
    <t>تدوین الزامات امنیتی و مدل تهدید</t>
  </si>
  <si>
    <t>دارایی‌ها، نقش‌ها، سناریوهای سوءاستفاده و کنترل‌های لازم تأیید و مستند شوند.</t>
  </si>
  <si>
    <t>شامل طبقه‌بندی داده، حداقل‌سازی دسترسی، کنترل تلاش ورود و الزامات ثبت رخداد.</t>
  </si>
  <si>
    <t>T-027</t>
  </si>
  <si>
    <t>ایمن‌سازی بارگذاری، نگهداری و دریافت فایل</t>
  </si>
  <si>
    <t>نوع واقعی فایل، حجم، مجوز دسترسی، پویش بدافزار و قرنطینه پیش از دسترسی عمومی آزمون و تأیید شوند.</t>
  </si>
  <si>
    <t>فایل خارج از مسیر عمومی نگهداری شود؛ نام ذخیره‌سازی غیرقابل‌حدس و اجرای محتوای بارگذاری‌شده مسدود باشد.</t>
  </si>
  <si>
    <t>T-028</t>
  </si>
  <si>
    <t>مدیریت اسرار و پیکربندی امن زیرساخت</t>
  </si>
  <si>
    <t>TLS، مدیریت امن اسرار، حداقل‌سازی دسترسی سرویس‌ها و حفاظت از نسخه‌های پشتیبان بررسی و تأیید شوند.</t>
  </si>
  <si>
    <t>رمزها و کلیدها در مخزن کد ثبت نشوند؛ دسترسی مدیریتی و پشتیبان‌ها محدود و قابل ردگیری باشد.</t>
  </si>
  <si>
    <t>T-029</t>
  </si>
  <si>
    <t>آزمون امنیت و رفع آسیب‌پذیری‌ها</t>
  </si>
  <si>
    <t>آزمون‌های احراز هویت، کنترل دسترسی، IDOR، بارگذاری فایل و تنظیمات استقرار انجام شود و آسیب‌پذیری بحرانی یا مهم باز نماند.</t>
  </si>
  <si>
    <t>سناریوها و نتایج آزمون در گزارش پذیرش ثبت شوند.</t>
  </si>
  <si>
    <t>T-030</t>
  </si>
  <si>
    <t>پایش امنیت، واکنش به رخداد و بازبینی دسترسی‌ها</t>
  </si>
  <si>
    <t>رخدادهای امنیتی قابل تشخیص و پیگیری باشند و بازبینی دوره‌ای دسترسی‌ها و روش واکنش مستند شود.</t>
  </si>
  <si>
    <t>لاگ‌های حساس، هشدار رویدادهای غیرعادی و فرآیند رسیدگی به رخداد در محدوده عملیاتی سامانه تعریف شوند.</t>
  </si>
  <si>
    <t>پالت رنگی</t>
  </si>
  <si>
    <t>نسخه موقت بر اساس توضیح «سرمه‌ای و سفید»؛ پس از دریافت لوگوی اصلی، کدهای نهایی جایگزین شوند. زمینه صفحات سفید یا بسیار روشن باقی می‌ماند.</t>
  </si>
  <si>
    <t>نام رنگ</t>
  </si>
  <si>
    <t>کد HEX</t>
  </si>
  <si>
    <t>کاربرد</t>
  </si>
  <si>
    <t>نمونه</t>
  </si>
  <si>
    <t>ملاحظات</t>
  </si>
  <si>
    <t>سفید</t>
  </si>
  <si>
    <t>#FFFFFF</t>
  </si>
  <si>
    <t>پس‌زمینه اصلی صفحات و شیت‌ها</t>
  </si>
  <si>
    <t>از پس‌زمینه سرمه‌ای یک‌دست استفاده نشود.</t>
  </si>
  <si>
    <t>سرمه‌ای اصلی</t>
  </si>
  <si>
    <t>#12345B</t>
  </si>
  <si>
    <t>عنوان‌ها، آیکون‌های اصلی، مرزبندی‌های مهم</t>
  </si>
  <si>
    <t>برای متن روی زمینه روشن؛ نه زمینه کلی صفحه.</t>
  </si>
  <si>
    <t>آبی میانی</t>
  </si>
  <si>
    <t>#2E5E8C</t>
  </si>
  <si>
    <t>لینک‌ها، حالت فعال و خطوط تأکیدی</t>
  </si>
  <si>
    <t>برای تعامل‌ها و تأکید محدود.</t>
  </si>
  <si>
    <t>آبی خیلی روشن</t>
  </si>
  <si>
    <t>#E8EEF5</t>
  </si>
  <si>
    <t>سرتیتر جدول، پنل‌های ثانویه و پس‌زمینه ملایم</t>
  </si>
  <si>
    <t>جانشین مناسب برای نوارهای سرمه‌ای سنگین.</t>
  </si>
  <si>
    <t>خاکستری روشن</t>
  </si>
  <si>
    <t>#F2F4F7</t>
  </si>
  <si>
    <t>خطوط جداکننده و سطوح کم‌اهمیت</t>
  </si>
  <si>
    <t>کنتراست متن باید حفظ شود.</t>
  </si>
  <si>
    <t>متن تیره</t>
  </si>
  <si>
    <t>#1F2937</t>
  </si>
  <si>
    <t>متن اصلی</t>
  </si>
  <si>
    <t>برای خوانایی متن‌های طولانی.</t>
  </si>
  <si>
    <t>متن ثانویه</t>
  </si>
  <si>
    <t>#5B6573</t>
  </si>
  <si>
    <t>توضیحات و فراداده</t>
  </si>
  <si>
    <t>برای متن‌های کم‌اهمیت؛ نه پیام‌های خطا.</t>
  </si>
  <si>
    <t>طلایی ملایم</t>
  </si>
  <si>
    <t>#896B17</t>
  </si>
  <si>
    <t>تأکید محدود، هشدار ملایم و برچسب نسخه</t>
  </si>
  <si>
    <t>در حد جزئی و بدون رقابت با سرمه‌ای.</t>
  </si>
  <si>
    <t>موفقیت</t>
  </si>
  <si>
    <t>#E4F4EA</t>
  </si>
  <si>
    <t>وضعیت تکمیل‌شده</t>
  </si>
  <si>
    <t>همراه با متن سبز تیره.</t>
  </si>
  <si>
    <t>هشدار</t>
  </si>
  <si>
    <t>#FFF5D6</t>
  </si>
  <si>
    <t>در حال انجام یا نیازمند توجه</t>
  </si>
  <si>
    <t>همراه با متن قهوه‌ای تیره.</t>
  </si>
  <si>
    <t>خطا</t>
  </si>
  <si>
    <t>#FDEBEC</t>
  </si>
  <si>
    <t>مسدود یا خطا</t>
  </si>
  <si>
    <t>همراه با متن قرمز تیره.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</si>
</sst>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6.0"/>
      <color rgb="FF12345B"/>
      <name val="Carlito"/>
    </font>
    <font/>
    <font>
      <i/>
      <sz val="10.0"/>
      <color rgb="FF5B6573"/>
      <name val="Carlito"/>
    </font>
    <font>
      <b/>
      <sz val="11.0"/>
      <color rgb="FF12345B"/>
      <name val="Carlito"/>
    </font>
    <font>
      <sz val="10.0"/>
      <color rgb="FF1F2937"/>
      <name val="Carlito"/>
    </font>
    <font>
      <b/>
      <sz val="14.0"/>
      <color rgb="FF12345B"/>
      <name val="Carlito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8EEF5"/>
        <bgColor rgb="FFE8EEF5"/>
      </patternFill>
    </fill>
    <fill>
      <patternFill patternType="solid">
        <fgColor rgb="FF12345B"/>
        <bgColor rgb="FF12345B"/>
      </patternFill>
    </fill>
    <fill>
      <patternFill patternType="solid">
        <fgColor rgb="FF2E5E8C"/>
        <bgColor rgb="FF2E5E8C"/>
      </patternFill>
    </fill>
    <fill>
      <patternFill patternType="solid">
        <fgColor rgb="FFF2F4F7"/>
        <bgColor rgb="FFF2F4F7"/>
      </patternFill>
    </fill>
    <fill>
      <patternFill patternType="solid">
        <fgColor rgb="FF1F2937"/>
        <bgColor rgb="FF1F2937"/>
      </patternFill>
    </fill>
    <fill>
      <patternFill patternType="solid">
        <fgColor rgb="FF5B6573"/>
        <bgColor rgb="FF5B6573"/>
      </patternFill>
    </fill>
    <fill>
      <patternFill patternType="solid">
        <fgColor rgb="FF896B17"/>
        <bgColor rgb="FF896B17"/>
      </patternFill>
    </fill>
    <fill>
      <patternFill patternType="solid">
        <fgColor rgb="FFE4F4EA"/>
        <bgColor rgb="FFE4F4EA"/>
      </patternFill>
    </fill>
    <fill>
      <patternFill patternType="solid">
        <fgColor rgb="FFFFF5D6"/>
        <bgColor rgb="FFFFF5D6"/>
      </patternFill>
    </fill>
    <fill>
      <patternFill patternType="solid">
        <fgColor rgb="FFFDEBEC"/>
        <bgColor rgb="FFFDEBEC"/>
      </patternFill>
    </fill>
  </fills>
  <borders count="3">
    <border/>
    <border>
      <bottom style="medium">
        <color rgb="FF2E5E8C"/>
      </bottom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Border="1" applyFont="1"/>
    <xf borderId="0" fillId="2" fontId="3" numFmtId="0" xfId="0" applyAlignment="1" applyFill="1" applyFont="1">
      <alignment horizontal="center" readingOrder="0" vertical="center"/>
    </xf>
    <xf borderId="2" fillId="3" fontId="4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readingOrder="0" shrinkToFit="0" vertical="center" wrapText="1"/>
    </xf>
    <xf borderId="2" fillId="2" fontId="5" numFmtId="0" xfId="0" applyAlignment="1" applyBorder="1" applyFill="1" applyFont="1">
      <alignment shrinkToFit="0" vertical="center" wrapText="1"/>
    </xf>
    <xf borderId="2" fillId="2" fontId="5" numFmtId="0" xfId="0" applyAlignment="1" applyBorder="1" applyFill="1" applyFont="1">
      <alignment readingOrder="0" shrinkToFit="0" vertical="center" wrapText="1"/>
    </xf>
    <xf borderId="2" fillId="2" fontId="6" numFmtId="0" xfId="0" applyAlignment="1" applyBorder="1" applyFill="1" applyFont="1">
      <alignment horizontal="center" vertical="center"/>
    </xf>
    <xf borderId="2" fillId="2" fontId="5" numFmtId="9" xfId="0" applyAlignment="1" applyBorder="1" applyFill="1" applyFont="1" applyNumberFormat="1">
      <alignment shrinkToFit="0" vertical="center" wrapText="1"/>
    </xf>
    <xf borderId="2" fillId="2" fontId="5" numFmtId="0" xfId="0" applyAlignment="1" applyBorder="1" applyFill="1" applyFont="1">
      <alignment readingOrder="0" shrinkToFit="0" vertical="center" wrapText="1"/>
    </xf>
    <xf borderId="2" fillId="4" fontId="5" numFmtId="0" xfId="0" applyAlignment="1" applyBorder="1" applyFill="1" applyFont="1">
      <alignment shrinkToFit="0" vertical="center" wrapText="1"/>
    </xf>
    <xf borderId="2" fillId="5" fontId="5" numFmtId="0" xfId="0" applyAlignment="1" applyBorder="1" applyFill="1" applyFont="1">
      <alignment shrinkToFit="0" vertical="center" wrapText="1"/>
    </xf>
    <xf borderId="2" fillId="3" fontId="5" numFmtId="0" xfId="0" applyAlignment="1" applyBorder="1" applyFill="1" applyFont="1">
      <alignment shrinkToFit="0" vertical="center" wrapText="1"/>
    </xf>
    <xf borderId="2" fillId="6" fontId="5" numFmtId="0" xfId="0" applyAlignment="1" applyBorder="1" applyFill="1" applyFont="1">
      <alignment shrinkToFit="0" vertical="center" wrapText="1"/>
    </xf>
    <xf borderId="2" fillId="7" fontId="5" numFmtId="0" xfId="0" applyAlignment="1" applyBorder="1" applyFill="1" applyFont="1">
      <alignment shrinkToFit="0" vertical="center" wrapText="1"/>
    </xf>
    <xf borderId="2" fillId="8" fontId="5" numFmtId="0" xfId="0" applyAlignment="1" applyBorder="1" applyFill="1" applyFont="1">
      <alignment shrinkToFit="0" vertical="center" wrapText="1"/>
    </xf>
    <xf borderId="2" fillId="9" fontId="5" numFmtId="0" xfId="0" applyAlignment="1" applyBorder="1" applyFill="1" applyFont="1">
      <alignment shrinkToFit="0" vertical="center" wrapText="1"/>
    </xf>
    <xf borderId="2" fillId="10" fontId="5" numFmtId="0" xfId="0" applyAlignment="1" applyBorder="1" applyFill="1" applyFont="1">
      <alignment shrinkToFit="0" vertical="center" wrapText="1"/>
    </xf>
    <xf borderId="2" fillId="11" fontId="5" numFmtId="0" xfId="0" applyAlignment="1" applyBorder="1" applyFill="1" applyFont="1">
      <alignment shrinkToFit="0" vertical="center" wrapText="1"/>
    </xf>
    <xf borderId="2" fillId="12" fontId="5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4">
    <dxf>
      <font>
        <b/>
        <color rgb="FF1F6B3A"/>
      </font>
      <fill>
        <patternFill patternType="solid">
          <fgColor rgb="FFE4F4EA"/>
          <bgColor rgb="FFE4F4EA"/>
        </patternFill>
      </fill>
      <border/>
    </dxf>
    <dxf>
      <font>
        <b/>
        <color rgb="FF8A5B00"/>
      </font>
      <fill>
        <patternFill patternType="solid">
          <fgColor rgb="FFFFF5D6"/>
          <bgColor rgb="FFFFF5D6"/>
        </patternFill>
      </fill>
      <border/>
    </dxf>
    <dxf>
      <font>
        <color rgb="FF5B6573"/>
      </font>
      <fill>
        <patternFill patternType="solid">
          <fgColor rgb="FFF2F4F7"/>
          <bgColor rgb="FFF2F4F7"/>
        </patternFill>
      </fill>
      <border/>
    </dxf>
    <dxf>
      <font>
        <b/>
        <color rgb="FF9A2931"/>
      </font>
      <fill>
        <patternFill patternType="solid">
          <fgColor rgb="FFFDEBEC"/>
          <bgColor rgb="FFFDEBE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0"/>
    <col customWidth="1" min="2" max="2" width="18.0"/>
    <col customWidth="1" min="3" max="3" width="20.0"/>
    <col customWidth="1" min="4" max="4" width="14.0"/>
    <col customWidth="1" min="5" max="5" width="16.0"/>
    <col customWidth="1" min="6" max="6" width="38.0"/>
    <col customWidth="1" min="7" max="7" width="34.0"/>
    <col customWidth="1" min="8" max="8" width="36.0"/>
    <col customWidth="1" min="9" max="26" width="8.63"/>
  </cols>
  <sheetData>
    <row r="1" ht="30.0" customHeight="1">
      <c r="A1" s="1" t="s">
        <v>3</v>
      </c>
      <c r="B1" s="2"/>
      <c r="C1" s="2"/>
      <c r="D1" s="2"/>
      <c r="E1" s="2"/>
      <c r="F1" s="2"/>
      <c r="G1" s="2"/>
      <c r="H1" s="2"/>
    </row>
    <row r="2" ht="24.0" customHeight="1">
      <c r="A2" s="3" t="s">
        <v>6</v>
      </c>
    </row>
    <row r="4" ht="24.75" customHeight="1">
      <c r="A4" s="5" t="s">
        <v>10</v>
      </c>
      <c r="B4" s="5" t="s">
        <v>13</v>
      </c>
      <c r="C4" s="5" t="s">
        <v>15</v>
      </c>
      <c r="D4" s="5" t="s">
        <v>18</v>
      </c>
    </row>
    <row r="5" ht="31.5" customHeight="1">
      <c r="A5" s="8">
        <f>COUNTA('تسک‌ها'!$A$4:$A1000)</f>
        <v>30</v>
      </c>
      <c r="B5" s="8">
        <f>COUNTIF('تسک‌ها'!$F$4:$F1000,"تکمیل‌شده")</f>
        <v>0</v>
      </c>
      <c r="C5" s="8">
        <f>COUNTIF('تسک‌ها'!$F$4:$F1000,"در حال انجام")</f>
        <v>1</v>
      </c>
      <c r="D5" s="8">
        <f>COUNTIF('تسک‌ها'!$F$4:$F1000,"در انتظار شروع")</f>
        <v>29</v>
      </c>
    </row>
    <row r="8" ht="24.75" customHeight="1">
      <c r="A8" s="5" t="s">
        <v>119</v>
      </c>
      <c r="B8" s="5" t="s">
        <v>122</v>
      </c>
      <c r="C8" s="5" t="s">
        <v>126</v>
      </c>
      <c r="D8" s="5" t="s">
        <v>130</v>
      </c>
      <c r="E8" s="5" t="s">
        <v>131</v>
      </c>
      <c r="F8" s="5" t="s">
        <v>134</v>
      </c>
      <c r="G8" s="5" t="s">
        <v>137</v>
      </c>
      <c r="H8" s="5" t="s">
        <v>140</v>
      </c>
    </row>
    <row r="9">
      <c r="A9" s="7" t="s">
        <v>145</v>
      </c>
      <c r="B9" s="7" t="s">
        <v>15</v>
      </c>
      <c r="C9" s="7" t="s">
        <v>42</v>
      </c>
      <c r="D9" s="9">
        <v>0.15</v>
      </c>
      <c r="E9" s="7" t="s">
        <v>181</v>
      </c>
      <c r="F9" s="7" t="s">
        <v>184</v>
      </c>
      <c r="G9" s="7" t="s">
        <v>186</v>
      </c>
      <c r="H9" s="7" t="s">
        <v>187</v>
      </c>
    </row>
    <row r="10">
      <c r="A10" s="7" t="s">
        <v>192</v>
      </c>
      <c r="B10" s="7" t="s">
        <v>18</v>
      </c>
      <c r="C10" s="7" t="s">
        <v>89</v>
      </c>
      <c r="D10" s="9">
        <v>0.0</v>
      </c>
      <c r="E10" s="6" t="s">
        <v>197</v>
      </c>
      <c r="F10" s="7" t="s">
        <v>201</v>
      </c>
      <c r="G10" s="7" t="s">
        <v>203</v>
      </c>
      <c r="H10" s="7" t="s">
        <v>205</v>
      </c>
    </row>
    <row r="11">
      <c r="A11" s="7" t="s">
        <v>209</v>
      </c>
      <c r="B11" s="7" t="s">
        <v>18</v>
      </c>
      <c r="C11" s="7" t="s">
        <v>89</v>
      </c>
      <c r="D11" s="9">
        <v>0.0</v>
      </c>
      <c r="E11" s="6" t="s">
        <v>197</v>
      </c>
      <c r="F11" s="7" t="s">
        <v>212</v>
      </c>
      <c r="G11" s="7" t="s">
        <v>214</v>
      </c>
      <c r="H11" s="7" t="s">
        <v>216</v>
      </c>
    </row>
    <row r="12">
      <c r="A12" s="7" t="s">
        <v>218</v>
      </c>
      <c r="B12" s="7" t="s">
        <v>18</v>
      </c>
      <c r="C12" s="7" t="s">
        <v>89</v>
      </c>
      <c r="D12" s="9">
        <v>0.0</v>
      </c>
      <c r="E12" s="6" t="s">
        <v>197</v>
      </c>
      <c r="F12" s="7" t="s">
        <v>200</v>
      </c>
      <c r="G12" s="7" t="s">
        <v>220</v>
      </c>
      <c r="H12" s="7" t="s">
        <v>221</v>
      </c>
    </row>
    <row r="13">
      <c r="A13" s="7" t="s">
        <v>222</v>
      </c>
      <c r="B13" s="7" t="s">
        <v>18</v>
      </c>
      <c r="C13" s="7" t="s">
        <v>42</v>
      </c>
      <c r="D13" s="9">
        <v>0.0</v>
      </c>
      <c r="E13" s="6" t="s">
        <v>197</v>
      </c>
      <c r="F13" s="7" t="s">
        <v>223</v>
      </c>
      <c r="G13" s="7" t="s">
        <v>224</v>
      </c>
      <c r="H13" s="7" t="s">
        <v>225</v>
      </c>
    </row>
    <row r="14">
      <c r="A14" s="7" t="s">
        <v>228</v>
      </c>
      <c r="B14" s="7" t="s">
        <v>18</v>
      </c>
      <c r="C14" s="7" t="s">
        <v>42</v>
      </c>
      <c r="D14" s="9">
        <v>0.0</v>
      </c>
      <c r="E14" s="6" t="s">
        <v>197</v>
      </c>
      <c r="F14" s="7" t="s">
        <v>230</v>
      </c>
      <c r="G14" s="7" t="s">
        <v>232</v>
      </c>
      <c r="H14" s="7" t="s">
        <v>233</v>
      </c>
    </row>
    <row r="15">
      <c r="A15" s="7" t="s">
        <v>235</v>
      </c>
      <c r="B15" s="7" t="s">
        <v>18</v>
      </c>
      <c r="C15" s="7" t="s">
        <v>42</v>
      </c>
      <c r="D15" s="9">
        <v>0.0</v>
      </c>
      <c r="E15" s="6" t="s">
        <v>197</v>
      </c>
      <c r="F15" s="7" t="s">
        <v>238</v>
      </c>
      <c r="G15" s="7" t="s">
        <v>239</v>
      </c>
      <c r="H15" s="7" t="s">
        <v>241</v>
      </c>
    </row>
    <row r="16">
      <c r="A16" s="7" t="s">
        <v>242</v>
      </c>
      <c r="B16" s="7" t="s">
        <v>18</v>
      </c>
      <c r="C16" s="7" t="s">
        <v>89</v>
      </c>
      <c r="D16" s="9">
        <v>0.0</v>
      </c>
      <c r="E16" s="6" t="s">
        <v>197</v>
      </c>
      <c r="F16" s="7" t="s">
        <v>246</v>
      </c>
      <c r="G16" s="7" t="s">
        <v>247</v>
      </c>
      <c r="H16" s="7" t="s">
        <v>249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conditionalFormatting sqref="B9:B16">
    <cfRule type="containsText" dxfId="0" priority="1" operator="containsText" text="تکمیل‌شده">
      <formula>NOT(ISERROR(SEARCH(("تکمیل‌شده"),(B9))))</formula>
    </cfRule>
  </conditionalFormatting>
  <conditionalFormatting sqref="B9:B16">
    <cfRule type="containsText" dxfId="1" priority="2" operator="containsText" text="در حال انجام">
      <formula>NOT(ISERROR(SEARCH(("در حال انجام"),(B9))))</formula>
    </cfRule>
  </conditionalFormatting>
  <conditionalFormatting sqref="B9:B16">
    <cfRule type="containsText" dxfId="2" priority="3" operator="containsText" text="در انتظار">
      <formula>NOT(ISERROR(SEARCH(("در انتظار"),(B9))))</formula>
    </cfRule>
  </conditionalFormatting>
  <conditionalFormatting sqref="B9:B16">
    <cfRule type="containsText" dxfId="3" priority="4" operator="containsText" text="مسدود">
      <formula>NOT(ISERROR(SEARCH(("مسدود"),(B9))))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13.0"/>
    <col customWidth="1" min="3" max="3" width="32.0"/>
    <col customWidth="1" min="4" max="4" width="48.0"/>
    <col customWidth="1" min="5" max="5" width="42.0"/>
    <col customWidth="1" min="6" max="6" width="19.0"/>
    <col customWidth="1" min="7" max="26" width="8.63"/>
  </cols>
  <sheetData>
    <row r="1" ht="30.0" customHeight="1">
      <c r="A1" s="1" t="s">
        <v>0</v>
      </c>
      <c r="B1" s="2"/>
      <c r="C1" s="2"/>
      <c r="D1" s="2"/>
      <c r="E1" s="2"/>
      <c r="F1" s="2"/>
    </row>
    <row r="2" ht="24.0" customHeight="1">
      <c r="A2" s="3" t="s">
        <v>5</v>
      </c>
    </row>
    <row r="3" ht="24.75" customHeight="1">
      <c r="A3" s="4" t="s">
        <v>9</v>
      </c>
      <c r="B3" s="5" t="s">
        <v>12</v>
      </c>
      <c r="C3" s="5" t="s">
        <v>14</v>
      </c>
      <c r="D3" s="5" t="s">
        <v>16</v>
      </c>
      <c r="E3" s="5" t="s">
        <v>19</v>
      </c>
      <c r="F3" s="5" t="s">
        <v>21</v>
      </c>
    </row>
    <row r="4">
      <c r="A4" s="6" t="s">
        <v>28</v>
      </c>
      <c r="B4" s="7" t="s">
        <v>37</v>
      </c>
      <c r="C4" s="7" t="s">
        <v>41</v>
      </c>
      <c r="D4" s="7" t="s">
        <v>43</v>
      </c>
      <c r="E4" s="7" t="s">
        <v>46</v>
      </c>
      <c r="F4" s="7" t="s">
        <v>15</v>
      </c>
    </row>
    <row r="5">
      <c r="A5" s="6" t="s">
        <v>53</v>
      </c>
      <c r="B5" s="7" t="s">
        <v>37</v>
      </c>
      <c r="C5" s="7" t="s">
        <v>56</v>
      </c>
      <c r="D5" s="7" t="s">
        <v>58</v>
      </c>
      <c r="E5" s="7" t="s">
        <v>59</v>
      </c>
      <c r="F5" s="7" t="s">
        <v>18</v>
      </c>
    </row>
    <row r="6">
      <c r="A6" s="6" t="s">
        <v>63</v>
      </c>
      <c r="B6" s="7" t="s">
        <v>37</v>
      </c>
      <c r="C6" s="7" t="s">
        <v>67</v>
      </c>
      <c r="D6" s="7" t="s">
        <v>70</v>
      </c>
      <c r="E6" s="7" t="s">
        <v>72</v>
      </c>
      <c r="F6" s="7" t="s">
        <v>18</v>
      </c>
    </row>
    <row r="7">
      <c r="A7" s="6" t="s">
        <v>78</v>
      </c>
      <c r="B7" s="7" t="s">
        <v>80</v>
      </c>
      <c r="C7" s="7" t="s">
        <v>81</v>
      </c>
      <c r="D7" s="7" t="s">
        <v>83</v>
      </c>
      <c r="E7" s="6" t="s">
        <v>85</v>
      </c>
      <c r="F7" s="7" t="s">
        <v>18</v>
      </c>
    </row>
    <row r="8">
      <c r="A8" s="6" t="s">
        <v>90</v>
      </c>
      <c r="B8" s="7" t="s">
        <v>80</v>
      </c>
      <c r="C8" s="7" t="s">
        <v>95</v>
      </c>
      <c r="D8" s="7" t="s">
        <v>96</v>
      </c>
      <c r="E8" s="7" t="s">
        <v>98</v>
      </c>
      <c r="F8" s="7" t="s">
        <v>18</v>
      </c>
    </row>
    <row r="9">
      <c r="A9" s="6" t="s">
        <v>103</v>
      </c>
      <c r="B9" s="7" t="s">
        <v>80</v>
      </c>
      <c r="C9" s="7" t="s">
        <v>107</v>
      </c>
      <c r="D9" s="7" t="s">
        <v>110</v>
      </c>
      <c r="E9" s="6" t="s">
        <v>113</v>
      </c>
      <c r="F9" s="7" t="s">
        <v>18</v>
      </c>
    </row>
    <row r="10">
      <c r="A10" s="6" t="s">
        <v>116</v>
      </c>
      <c r="B10" s="7" t="s">
        <v>80</v>
      </c>
      <c r="C10" s="7" t="s">
        <v>120</v>
      </c>
      <c r="D10" s="7" t="s">
        <v>123</v>
      </c>
      <c r="E10" s="7" t="s">
        <v>127</v>
      </c>
      <c r="F10" s="7" t="s">
        <v>18</v>
      </c>
    </row>
    <row r="11">
      <c r="A11" s="6" t="s">
        <v>136</v>
      </c>
      <c r="B11" s="7" t="s">
        <v>80</v>
      </c>
      <c r="C11" s="7" t="s">
        <v>142</v>
      </c>
      <c r="D11" s="7" t="s">
        <v>143</v>
      </c>
      <c r="E11" s="7" t="s">
        <v>147</v>
      </c>
      <c r="F11" s="7" t="s">
        <v>18</v>
      </c>
    </row>
    <row r="12">
      <c r="A12" s="6" t="s">
        <v>154</v>
      </c>
      <c r="B12" s="7" t="s">
        <v>80</v>
      </c>
      <c r="C12" s="7" t="s">
        <v>158</v>
      </c>
      <c r="D12" s="7" t="s">
        <v>161</v>
      </c>
      <c r="E12" s="7" t="s">
        <v>163</v>
      </c>
      <c r="F12" s="7" t="s">
        <v>18</v>
      </c>
    </row>
    <row r="13">
      <c r="A13" s="6" t="s">
        <v>167</v>
      </c>
      <c r="B13" s="7" t="s">
        <v>80</v>
      </c>
      <c r="C13" s="7" t="s">
        <v>171</v>
      </c>
      <c r="D13" s="7" t="s">
        <v>174</v>
      </c>
      <c r="E13" s="7" t="s">
        <v>176</v>
      </c>
      <c r="F13" s="7" t="s">
        <v>18</v>
      </c>
    </row>
    <row r="14">
      <c r="A14" s="6" t="s">
        <v>182</v>
      </c>
      <c r="B14" s="7" t="s">
        <v>37</v>
      </c>
      <c r="C14" s="7" t="s">
        <v>188</v>
      </c>
      <c r="D14" s="7" t="s">
        <v>190</v>
      </c>
      <c r="E14" s="7" t="s">
        <v>194</v>
      </c>
      <c r="F14" s="7" t="s">
        <v>18</v>
      </c>
    </row>
    <row r="15">
      <c r="A15" s="6" t="s">
        <v>196</v>
      </c>
      <c r="B15" s="7" t="s">
        <v>37</v>
      </c>
      <c r="C15" s="7" t="s">
        <v>200</v>
      </c>
      <c r="D15" s="7" t="s">
        <v>204</v>
      </c>
      <c r="E15" s="7" t="s">
        <v>207</v>
      </c>
      <c r="F15" s="7" t="s">
        <v>18</v>
      </c>
    </row>
    <row r="16">
      <c r="A16" s="6" t="s">
        <v>211</v>
      </c>
      <c r="B16" s="7" t="s">
        <v>37</v>
      </c>
      <c r="C16" s="7" t="s">
        <v>213</v>
      </c>
      <c r="D16" s="7" t="s">
        <v>215</v>
      </c>
      <c r="E16" s="7" t="s">
        <v>217</v>
      </c>
      <c r="F16" s="7" t="s">
        <v>18</v>
      </c>
    </row>
    <row r="17">
      <c r="A17" s="6" t="s">
        <v>219</v>
      </c>
      <c r="B17" s="7" t="s">
        <v>80</v>
      </c>
      <c r="C17" s="7" t="s">
        <v>226</v>
      </c>
      <c r="D17" s="7" t="s">
        <v>227</v>
      </c>
      <c r="E17" s="7" t="s">
        <v>229</v>
      </c>
      <c r="F17" s="7" t="s">
        <v>18</v>
      </c>
    </row>
    <row r="18">
      <c r="A18" s="6" t="s">
        <v>231</v>
      </c>
      <c r="B18" s="7" t="s">
        <v>80</v>
      </c>
      <c r="C18" s="7" t="s">
        <v>234</v>
      </c>
      <c r="D18" s="7" t="s">
        <v>236</v>
      </c>
      <c r="E18" s="7" t="s">
        <v>237</v>
      </c>
      <c r="F18" s="7" t="s">
        <v>18</v>
      </c>
    </row>
    <row r="19">
      <c r="A19" s="6" t="s">
        <v>240</v>
      </c>
      <c r="B19" s="7" t="s">
        <v>80</v>
      </c>
      <c r="C19" s="6" t="s">
        <v>243</v>
      </c>
      <c r="D19" s="7" t="s">
        <v>244</v>
      </c>
      <c r="E19" s="7" t="s">
        <v>245</v>
      </c>
      <c r="F19" s="7" t="s">
        <v>18</v>
      </c>
    </row>
    <row r="20">
      <c r="A20" s="6" t="s">
        <v>248</v>
      </c>
      <c r="B20" s="7" t="s">
        <v>80</v>
      </c>
      <c r="C20" s="7" t="s">
        <v>250</v>
      </c>
      <c r="D20" s="7" t="s">
        <v>251</v>
      </c>
      <c r="E20" s="7" t="s">
        <v>252</v>
      </c>
      <c r="F20" s="7" t="s">
        <v>18</v>
      </c>
    </row>
    <row r="21" ht="15.75" customHeight="1">
      <c r="A21" s="6" t="s">
        <v>253</v>
      </c>
      <c r="B21" s="7" t="s">
        <v>37</v>
      </c>
      <c r="C21" s="7" t="s">
        <v>254</v>
      </c>
      <c r="D21" s="7" t="s">
        <v>255</v>
      </c>
      <c r="E21" s="7" t="s">
        <v>256</v>
      </c>
      <c r="F21" s="7" t="s">
        <v>18</v>
      </c>
    </row>
    <row r="22" ht="15.75" customHeight="1">
      <c r="A22" s="6" t="s">
        <v>257</v>
      </c>
      <c r="B22" s="7" t="s">
        <v>80</v>
      </c>
      <c r="C22" s="7" t="s">
        <v>258</v>
      </c>
      <c r="D22" s="7" t="s">
        <v>259</v>
      </c>
      <c r="E22" s="7" t="s">
        <v>260</v>
      </c>
      <c r="F22" s="7" t="s">
        <v>18</v>
      </c>
    </row>
    <row r="23" ht="15.75" customHeight="1">
      <c r="A23" s="6" t="s">
        <v>261</v>
      </c>
      <c r="B23" s="7" t="s">
        <v>80</v>
      </c>
      <c r="C23" s="7" t="s">
        <v>262</v>
      </c>
      <c r="D23" s="7" t="s">
        <v>263</v>
      </c>
      <c r="E23" s="7" t="s">
        <v>264</v>
      </c>
      <c r="F23" s="7" t="s">
        <v>18</v>
      </c>
    </row>
    <row r="24" ht="15.75" customHeight="1">
      <c r="A24" s="6" t="s">
        <v>265</v>
      </c>
      <c r="B24" s="7" t="s">
        <v>266</v>
      </c>
      <c r="C24" s="7" t="s">
        <v>267</v>
      </c>
      <c r="D24" s="7" t="s">
        <v>268</v>
      </c>
      <c r="E24" s="7" t="s">
        <v>269</v>
      </c>
      <c r="F24" s="7" t="s">
        <v>18</v>
      </c>
    </row>
    <row r="25" ht="15.75" customHeight="1">
      <c r="A25" s="6" t="s">
        <v>270</v>
      </c>
      <c r="B25" s="7" t="s">
        <v>37</v>
      </c>
      <c r="C25" s="7" t="s">
        <v>271</v>
      </c>
      <c r="D25" s="7" t="s">
        <v>272</v>
      </c>
      <c r="E25" s="7" t="s">
        <v>273</v>
      </c>
      <c r="F25" s="7" t="s">
        <v>18</v>
      </c>
    </row>
    <row r="26" ht="15.75" customHeight="1">
      <c r="A26" s="6" t="s">
        <v>274</v>
      </c>
      <c r="B26" s="7" t="s">
        <v>266</v>
      </c>
      <c r="C26" s="7" t="s">
        <v>275</v>
      </c>
      <c r="D26" s="7" t="s">
        <v>276</v>
      </c>
      <c r="E26" s="7" t="s">
        <v>277</v>
      </c>
      <c r="F26" s="7" t="s">
        <v>18</v>
      </c>
    </row>
    <row r="27" ht="15.75" customHeight="1">
      <c r="A27" s="6" t="s">
        <v>278</v>
      </c>
      <c r="B27" s="7" t="s">
        <v>266</v>
      </c>
      <c r="C27" s="7" t="s">
        <v>279</v>
      </c>
      <c r="D27" s="7" t="s">
        <v>280</v>
      </c>
      <c r="E27" s="7" t="s">
        <v>281</v>
      </c>
      <c r="F27" s="7" t="s">
        <v>18</v>
      </c>
    </row>
    <row r="28">
      <c r="A28" s="10" t="s">
        <v>282</v>
      </c>
      <c r="B28" s="7" t="s">
        <v>80</v>
      </c>
      <c r="C28" s="7" t="s">
        <v>283</v>
      </c>
      <c r="D28" s="7" t="s">
        <v>284</v>
      </c>
      <c r="E28" s="7" t="s">
        <v>285</v>
      </c>
      <c r="F28" s="7" t="s">
        <v>18</v>
      </c>
    </row>
    <row r="29" ht="54.0" customHeight="1">
      <c r="A29" s="10" t="s">
        <v>286</v>
      </c>
      <c r="B29" s="7" t="s">
        <v>37</v>
      </c>
      <c r="C29" s="7" t="s">
        <v>287</v>
      </c>
      <c r="D29" s="7" t="s">
        <v>288</v>
      </c>
      <c r="E29" s="7" t="s">
        <v>289</v>
      </c>
      <c r="F29" s="7" t="s">
        <v>18</v>
      </c>
    </row>
    <row r="30" ht="54.0" customHeight="1">
      <c r="A30" s="10" t="s">
        <v>290</v>
      </c>
      <c r="B30" s="7" t="s">
        <v>37</v>
      </c>
      <c r="C30" s="7" t="s">
        <v>291</v>
      </c>
      <c r="D30" s="7" t="s">
        <v>292</v>
      </c>
      <c r="E30" s="7" t="s">
        <v>293</v>
      </c>
      <c r="F30" s="7" t="s">
        <v>18</v>
      </c>
    </row>
    <row r="31" ht="54.0" customHeight="1">
      <c r="A31" s="10" t="s">
        <v>294</v>
      </c>
      <c r="B31" s="7" t="s">
        <v>37</v>
      </c>
      <c r="C31" s="7" t="s">
        <v>295</v>
      </c>
      <c r="D31" s="7" t="s">
        <v>296</v>
      </c>
      <c r="E31" s="7" t="s">
        <v>297</v>
      </c>
      <c r="F31" s="7" t="s">
        <v>18</v>
      </c>
    </row>
    <row r="32" ht="54.0" customHeight="1">
      <c r="A32" s="10" t="s">
        <v>298</v>
      </c>
      <c r="B32" s="7" t="s">
        <v>37</v>
      </c>
      <c r="C32" s="7" t="s">
        <v>299</v>
      </c>
      <c r="D32" s="7" t="s">
        <v>300</v>
      </c>
      <c r="E32" s="7" t="s">
        <v>301</v>
      </c>
      <c r="F32" s="7" t="s">
        <v>18</v>
      </c>
    </row>
    <row r="33" ht="54.0" customHeight="1">
      <c r="A33" s="10" t="s">
        <v>302</v>
      </c>
      <c r="B33" s="7" t="s">
        <v>80</v>
      </c>
      <c r="C33" s="7" t="s">
        <v>303</v>
      </c>
      <c r="D33" s="7" t="s">
        <v>304</v>
      </c>
      <c r="E33" s="7" t="s">
        <v>305</v>
      </c>
      <c r="F33" s="7" t="s">
        <v>18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conditionalFormatting sqref="F4:F33">
    <cfRule type="containsText" dxfId="0" priority="1" stopIfTrue="1" operator="containsText" text="تکمیل‌شده">
      <formula>NOT(ISERROR(SEARCH(("تکمیل‌شده"),(F4))))</formula>
    </cfRule>
  </conditionalFormatting>
  <conditionalFormatting sqref="F4:F33">
    <cfRule type="containsText" dxfId="1" priority="2" stopIfTrue="1" operator="containsText" text="در حال انجام">
      <formula>NOT(ISERROR(SEARCH(("در حال انجام"),(F4))))</formula>
    </cfRule>
  </conditionalFormatting>
  <conditionalFormatting sqref="F4:F33">
    <cfRule type="containsText" dxfId="2" priority="3" stopIfTrue="1" operator="containsText" text="در انتظار">
      <formula>NOT(ISERROR(SEARCH(("در انتظار"),(F4))))</formula>
    </cfRule>
  </conditionalFormatting>
  <conditionalFormatting sqref="F4:F33">
    <cfRule type="containsText" dxfId="3" priority="4" stopIfTrue="1" operator="containsText" text="مسدود">
      <formula>NOT(ISERROR(SEARCH(("مسدود"),(F4))))</formula>
    </cfRule>
  </conditionalFormatting>
  <dataValidations>
    <dataValidation type="list" allowBlank="1" sqref="B4:B33">
      <formula1>"فوری,بالا,متوسط,پایین"</formula1>
    </dataValidation>
    <dataValidation type="list" allowBlank="1" sqref="F4:F33">
      <formula1>"در انتظار شروع,در حال انجام,مسدود,نیازمند تأیید,تکمیل‌شده"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4.0"/>
    <col customWidth="1" min="2" max="2" width="18.0"/>
    <col customWidth="1" min="3" max="3" width="22.0"/>
    <col customWidth="1" min="4" max="4" width="55.0"/>
    <col customWidth="1" min="5" max="26" width="8.63"/>
  </cols>
  <sheetData>
    <row r="1" ht="30.0" customHeight="1">
      <c r="A1" s="1" t="s">
        <v>2</v>
      </c>
      <c r="B1" s="2"/>
      <c r="C1" s="2"/>
      <c r="D1" s="2"/>
    </row>
    <row r="2" ht="24.0" customHeight="1">
      <c r="A2" s="3" t="s">
        <v>4</v>
      </c>
    </row>
    <row r="3" ht="24.75" customHeight="1">
      <c r="A3" s="5" t="s">
        <v>8</v>
      </c>
      <c r="B3" s="5" t="s">
        <v>23</v>
      </c>
      <c r="C3" s="5" t="s">
        <v>25</v>
      </c>
      <c r="D3" s="5" t="s">
        <v>27</v>
      </c>
    </row>
    <row r="4">
      <c r="A4" s="6" t="s">
        <v>31</v>
      </c>
      <c r="B4" s="6" t="s">
        <v>32</v>
      </c>
      <c r="C4" s="7" t="s">
        <v>34</v>
      </c>
      <c r="D4" s="7" t="s">
        <v>36</v>
      </c>
    </row>
    <row r="5">
      <c r="A5" s="6" t="s">
        <v>40</v>
      </c>
      <c r="B5" s="6" t="s">
        <v>32</v>
      </c>
      <c r="C5" s="7" t="s">
        <v>45</v>
      </c>
      <c r="D5" s="7" t="s">
        <v>48</v>
      </c>
    </row>
    <row r="6">
      <c r="A6" s="6" t="s">
        <v>50</v>
      </c>
      <c r="B6" s="6" t="s">
        <v>32</v>
      </c>
      <c r="C6" s="7" t="s">
        <v>51</v>
      </c>
      <c r="D6" s="7" t="s">
        <v>52</v>
      </c>
    </row>
    <row r="7">
      <c r="A7" s="6" t="s">
        <v>54</v>
      </c>
      <c r="B7" s="6" t="s">
        <v>32</v>
      </c>
      <c r="C7" s="7" t="s">
        <v>55</v>
      </c>
      <c r="D7" s="7" t="s">
        <v>57</v>
      </c>
    </row>
    <row r="8">
      <c r="A8" s="6" t="s">
        <v>60</v>
      </c>
      <c r="B8" s="6" t="s">
        <v>32</v>
      </c>
      <c r="C8" s="7" t="s">
        <v>62</v>
      </c>
      <c r="D8" s="7" t="s">
        <v>65</v>
      </c>
    </row>
    <row r="9">
      <c r="A9" s="6" t="s">
        <v>69</v>
      </c>
      <c r="B9" s="6" t="s">
        <v>32</v>
      </c>
      <c r="C9" s="7" t="s">
        <v>74</v>
      </c>
      <c r="D9" s="7" t="s">
        <v>76</v>
      </c>
    </row>
    <row r="10">
      <c r="A10" s="6" t="s">
        <v>79</v>
      </c>
      <c r="B10" s="6" t="s">
        <v>32</v>
      </c>
      <c r="C10" s="7" t="s">
        <v>88</v>
      </c>
      <c r="D10" s="7" t="s">
        <v>92</v>
      </c>
    </row>
    <row r="11">
      <c r="A11" s="6" t="s">
        <v>97</v>
      </c>
      <c r="B11" s="7" t="s">
        <v>99</v>
      </c>
      <c r="C11" s="7" t="s">
        <v>101</v>
      </c>
      <c r="D11" s="7" t="s">
        <v>105</v>
      </c>
    </row>
    <row r="12">
      <c r="A12" s="6" t="s">
        <v>108</v>
      </c>
      <c r="B12" s="7" t="s">
        <v>99</v>
      </c>
      <c r="C12" s="7" t="s">
        <v>112</v>
      </c>
      <c r="D12" s="7" t="s">
        <v>115</v>
      </c>
    </row>
    <row r="13">
      <c r="A13" s="6" t="s">
        <v>118</v>
      </c>
      <c r="B13" s="7" t="s">
        <v>99</v>
      </c>
      <c r="C13" s="6" t="s">
        <v>125</v>
      </c>
      <c r="D13" s="7" t="s">
        <v>129</v>
      </c>
    </row>
    <row r="14">
      <c r="A14" s="6" t="s">
        <v>133</v>
      </c>
      <c r="B14" s="7" t="s">
        <v>99</v>
      </c>
      <c r="C14" s="7" t="s">
        <v>139</v>
      </c>
      <c r="D14" s="7" t="s">
        <v>141</v>
      </c>
    </row>
    <row r="15">
      <c r="A15" s="6" t="s">
        <v>146</v>
      </c>
      <c r="B15" s="7" t="s">
        <v>149</v>
      </c>
      <c r="C15" s="7" t="s">
        <v>151</v>
      </c>
      <c r="D15" s="7" t="s">
        <v>153</v>
      </c>
    </row>
    <row r="16">
      <c r="A16" s="6" t="s">
        <v>156</v>
      </c>
      <c r="B16" s="7" t="s">
        <v>159</v>
      </c>
      <c r="C16" s="7" t="s">
        <v>162</v>
      </c>
      <c r="D16" s="7" t="s">
        <v>164</v>
      </c>
    </row>
    <row r="17">
      <c r="A17" s="6" t="s">
        <v>166</v>
      </c>
      <c r="B17" s="6" t="s">
        <v>169</v>
      </c>
      <c r="C17" s="7" t="s">
        <v>1</v>
      </c>
      <c r="D17" s="7" t="s">
        <v>173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27.0"/>
    <col customWidth="1" min="3" max="3" width="36.0"/>
    <col customWidth="1" min="4" max="4" width="27.0"/>
    <col customWidth="1" min="5" max="5" width="20.0"/>
    <col customWidth="1" min="6" max="6" width="22.0"/>
    <col customWidth="1" min="7" max="7" width="18.0"/>
    <col customWidth="1" min="8" max="8" width="39.0"/>
    <col customWidth="1" min="9" max="9" width="18.0"/>
    <col customWidth="1" min="10" max="26" width="8.63"/>
  </cols>
  <sheetData>
    <row r="1" ht="30.0" customHeight="1">
      <c r="A1" s="1" t="s">
        <v>1</v>
      </c>
      <c r="B1" s="2"/>
      <c r="C1" s="2"/>
      <c r="D1" s="2"/>
      <c r="E1" s="2"/>
      <c r="F1" s="2"/>
      <c r="G1" s="2"/>
      <c r="H1" s="2"/>
      <c r="I1" s="2"/>
    </row>
    <row r="2" ht="24.0" customHeight="1">
      <c r="A2" s="3" t="s">
        <v>7</v>
      </c>
    </row>
    <row r="3" ht="24.75" customHeight="1">
      <c r="A3" s="5" t="s">
        <v>11</v>
      </c>
      <c r="B3" s="5" t="s">
        <v>17</v>
      </c>
      <c r="C3" s="5" t="s">
        <v>20</v>
      </c>
      <c r="D3" s="5" t="s">
        <v>22</v>
      </c>
      <c r="E3" s="5" t="s">
        <v>24</v>
      </c>
      <c r="F3" s="5" t="s">
        <v>26</v>
      </c>
      <c r="G3" s="5" t="s">
        <v>29</v>
      </c>
      <c r="H3" s="5" t="s">
        <v>30</v>
      </c>
      <c r="I3" s="5" t="s">
        <v>21</v>
      </c>
    </row>
    <row r="4">
      <c r="A4" s="7" t="s">
        <v>33</v>
      </c>
      <c r="B4" s="7" t="s">
        <v>35</v>
      </c>
      <c r="C4" s="7" t="s">
        <v>38</v>
      </c>
      <c r="D4" s="7" t="s">
        <v>39</v>
      </c>
      <c r="E4" s="7" t="s">
        <v>42</v>
      </c>
      <c r="F4" s="7" t="s">
        <v>44</v>
      </c>
      <c r="G4" s="7" t="s">
        <v>47</v>
      </c>
      <c r="H4" s="7" t="s">
        <v>49</v>
      </c>
      <c r="I4" s="7" t="s">
        <v>15</v>
      </c>
    </row>
    <row r="5">
      <c r="A5" s="7" t="s">
        <v>61</v>
      </c>
      <c r="B5" s="7" t="s">
        <v>64</v>
      </c>
      <c r="C5" s="7" t="s">
        <v>66</v>
      </c>
      <c r="D5" s="7" t="s">
        <v>68</v>
      </c>
      <c r="E5" s="7" t="s">
        <v>71</v>
      </c>
      <c r="F5" s="7" t="s">
        <v>73</v>
      </c>
      <c r="G5" s="7" t="s">
        <v>75</v>
      </c>
      <c r="H5" s="7" t="s">
        <v>77</v>
      </c>
      <c r="I5" s="7" t="s">
        <v>18</v>
      </c>
    </row>
    <row r="6">
      <c r="A6" s="7" t="s">
        <v>82</v>
      </c>
      <c r="B6" s="7" t="s">
        <v>84</v>
      </c>
      <c r="C6" s="7" t="s">
        <v>86</v>
      </c>
      <c r="D6" s="7" t="s">
        <v>87</v>
      </c>
      <c r="E6" s="7" t="s">
        <v>89</v>
      </c>
      <c r="F6" s="7" t="s">
        <v>91</v>
      </c>
      <c r="G6" s="7" t="s">
        <v>93</v>
      </c>
      <c r="H6" s="7" t="s">
        <v>94</v>
      </c>
      <c r="I6" s="7" t="s">
        <v>18</v>
      </c>
    </row>
    <row r="7">
      <c r="A7" s="7" t="s">
        <v>100</v>
      </c>
      <c r="B7" s="7" t="s">
        <v>102</v>
      </c>
      <c r="C7" s="7" t="s">
        <v>104</v>
      </c>
      <c r="D7" s="7" t="s">
        <v>106</v>
      </c>
      <c r="E7" s="7" t="s">
        <v>89</v>
      </c>
      <c r="F7" s="7" t="s">
        <v>109</v>
      </c>
      <c r="G7" s="7" t="s">
        <v>111</v>
      </c>
      <c r="H7" s="7" t="s">
        <v>114</v>
      </c>
      <c r="I7" s="7" t="s">
        <v>18</v>
      </c>
    </row>
    <row r="8">
      <c r="A8" s="7" t="s">
        <v>117</v>
      </c>
      <c r="B8" s="7" t="s">
        <v>121</v>
      </c>
      <c r="C8" s="7" t="s">
        <v>124</v>
      </c>
      <c r="D8" s="7" t="s">
        <v>128</v>
      </c>
      <c r="E8" s="7" t="s">
        <v>89</v>
      </c>
      <c r="F8" s="7" t="s">
        <v>132</v>
      </c>
      <c r="G8" s="7" t="s">
        <v>135</v>
      </c>
      <c r="H8" s="7" t="s">
        <v>138</v>
      </c>
      <c r="I8" s="7" t="s">
        <v>18</v>
      </c>
    </row>
    <row r="9">
      <c r="A9" s="7" t="s">
        <v>144</v>
      </c>
      <c r="B9" s="7" t="s">
        <v>148</v>
      </c>
      <c r="C9" s="7" t="s">
        <v>150</v>
      </c>
      <c r="D9" s="7" t="s">
        <v>152</v>
      </c>
      <c r="E9" s="7" t="s">
        <v>71</v>
      </c>
      <c r="F9" s="7" t="s">
        <v>155</v>
      </c>
      <c r="G9" s="7" t="s">
        <v>157</v>
      </c>
      <c r="H9" s="7" t="s">
        <v>160</v>
      </c>
      <c r="I9" s="7" t="s">
        <v>18</v>
      </c>
    </row>
    <row r="10">
      <c r="A10" s="7" t="s">
        <v>165</v>
      </c>
      <c r="B10" s="7" t="s">
        <v>168</v>
      </c>
      <c r="C10" s="7" t="s">
        <v>170</v>
      </c>
      <c r="D10" s="7" t="s">
        <v>172</v>
      </c>
      <c r="E10" s="7" t="s">
        <v>71</v>
      </c>
      <c r="F10" s="7" t="s">
        <v>175</v>
      </c>
      <c r="G10" s="7" t="s">
        <v>177</v>
      </c>
      <c r="H10" s="7" t="s">
        <v>178</v>
      </c>
      <c r="I10" s="7" t="s">
        <v>18</v>
      </c>
    </row>
    <row r="11">
      <c r="A11" s="7" t="s">
        <v>179</v>
      </c>
      <c r="B11" s="7" t="s">
        <v>180</v>
      </c>
      <c r="C11" s="7" t="s">
        <v>183</v>
      </c>
      <c r="D11" s="7" t="s">
        <v>185</v>
      </c>
      <c r="E11" s="7" t="s">
        <v>42</v>
      </c>
      <c r="F11" s="7" t="s">
        <v>189</v>
      </c>
      <c r="G11" s="7" t="s">
        <v>191</v>
      </c>
      <c r="H11" s="7" t="s">
        <v>193</v>
      </c>
      <c r="I11" s="7" t="s">
        <v>18</v>
      </c>
    </row>
    <row r="12" ht="48.0" customHeight="1">
      <c r="A12" s="7" t="s">
        <v>195</v>
      </c>
      <c r="B12" s="7" t="s">
        <v>198</v>
      </c>
      <c r="C12" s="7" t="s">
        <v>199</v>
      </c>
      <c r="D12" s="7" t="s">
        <v>202</v>
      </c>
      <c r="E12" s="7" t="s">
        <v>89</v>
      </c>
      <c r="F12" s="7" t="s">
        <v>206</v>
      </c>
      <c r="G12" s="7" t="s">
        <v>208</v>
      </c>
      <c r="H12" s="7" t="s">
        <v>210</v>
      </c>
      <c r="I12" s="7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conditionalFormatting sqref="I4:I12">
    <cfRule type="containsText" dxfId="0" priority="1" operator="containsText" text="تکمیل‌شده">
      <formula>NOT(ISERROR(SEARCH(("تکمیل‌شده"),(I4))))</formula>
    </cfRule>
  </conditionalFormatting>
  <conditionalFormatting sqref="I4:I12">
    <cfRule type="containsText" dxfId="1" priority="2" operator="containsText" text="در حال انجام">
      <formula>NOT(ISERROR(SEARCH(("در حال انجام"),(I4))))</formula>
    </cfRule>
  </conditionalFormatting>
  <conditionalFormatting sqref="I4:I12">
    <cfRule type="containsText" dxfId="2" priority="3" operator="containsText" text="در انتظار">
      <formula>NOT(ISERROR(SEARCH(("در انتظار"),(I4))))</formula>
    </cfRule>
  </conditionalFormatting>
  <conditionalFormatting sqref="I4:I12">
    <cfRule type="containsText" dxfId="3" priority="4" operator="containsText" text="مسدود">
      <formula>NOT(ISERROR(SEARCH(("مسدود"),(I4))))</formula>
    </cfRule>
  </conditionalFormatting>
  <dataValidations>
    <dataValidation type="list" allowBlank="1" sqref="I4:I12">
      <formula1>"در انتظار شروع,در حال انجام,مسدود,نیازمند تأیید,تکمیل‌شده"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14.0"/>
    <col customWidth="1" min="3" max="3" width="38.0"/>
    <col customWidth="1" min="4" max="4" width="15.0"/>
    <col customWidth="1" min="5" max="5" width="42.0"/>
    <col customWidth="1" min="6" max="26" width="8.63"/>
  </cols>
  <sheetData>
    <row r="1" ht="30.0" customHeight="1">
      <c r="A1" s="1" t="s">
        <v>306</v>
      </c>
      <c r="B1" s="2"/>
      <c r="C1" s="2"/>
      <c r="D1" s="2"/>
      <c r="E1" s="2"/>
    </row>
    <row r="2" ht="24.0" customHeight="1">
      <c r="A2" s="3" t="s">
        <v>307</v>
      </c>
    </row>
    <row r="3" ht="24.75" customHeight="1">
      <c r="A3" s="5" t="s">
        <v>308</v>
      </c>
      <c r="B3" s="5" t="s">
        <v>309</v>
      </c>
      <c r="C3" s="5" t="s">
        <v>310</v>
      </c>
      <c r="D3" s="5" t="s">
        <v>311</v>
      </c>
      <c r="E3" s="5" t="s">
        <v>312</v>
      </c>
    </row>
    <row r="4" ht="27.75" customHeight="1">
      <c r="A4" s="7" t="s">
        <v>313</v>
      </c>
      <c r="B4" s="6" t="s">
        <v>314</v>
      </c>
      <c r="C4" s="7" t="s">
        <v>315</v>
      </c>
      <c r="D4" s="6"/>
      <c r="E4" s="7" t="s">
        <v>316</v>
      </c>
    </row>
    <row r="5" ht="27.75" customHeight="1">
      <c r="A5" s="7" t="s">
        <v>317</v>
      </c>
      <c r="B5" s="6" t="s">
        <v>318</v>
      </c>
      <c r="C5" s="7" t="s">
        <v>319</v>
      </c>
      <c r="D5" s="11"/>
      <c r="E5" s="7" t="s">
        <v>320</v>
      </c>
    </row>
    <row r="6" ht="27.75" customHeight="1">
      <c r="A6" s="7" t="s">
        <v>321</v>
      </c>
      <c r="B6" s="6" t="s">
        <v>322</v>
      </c>
      <c r="C6" s="7" t="s">
        <v>323</v>
      </c>
      <c r="D6" s="12"/>
      <c r="E6" s="7" t="s">
        <v>324</v>
      </c>
    </row>
    <row r="7" ht="27.75" customHeight="1">
      <c r="A7" s="7" t="s">
        <v>325</v>
      </c>
      <c r="B7" s="6" t="s">
        <v>326</v>
      </c>
      <c r="C7" s="7" t="s">
        <v>327</v>
      </c>
      <c r="D7" s="13"/>
      <c r="E7" s="7" t="s">
        <v>328</v>
      </c>
    </row>
    <row r="8" ht="27.75" customHeight="1">
      <c r="A8" s="7" t="s">
        <v>329</v>
      </c>
      <c r="B8" s="6" t="s">
        <v>330</v>
      </c>
      <c r="C8" s="7" t="s">
        <v>331</v>
      </c>
      <c r="D8" s="14"/>
      <c r="E8" s="7" t="s">
        <v>332</v>
      </c>
    </row>
    <row r="9" ht="27.75" customHeight="1">
      <c r="A9" s="7" t="s">
        <v>333</v>
      </c>
      <c r="B9" s="6" t="s">
        <v>334</v>
      </c>
      <c r="C9" s="7" t="s">
        <v>335</v>
      </c>
      <c r="D9" s="15"/>
      <c r="E9" s="7" t="s">
        <v>336</v>
      </c>
    </row>
    <row r="10" ht="27.75" customHeight="1">
      <c r="A10" s="7" t="s">
        <v>337</v>
      </c>
      <c r="B10" s="6" t="s">
        <v>338</v>
      </c>
      <c r="C10" s="7" t="s">
        <v>339</v>
      </c>
      <c r="D10" s="16"/>
      <c r="E10" s="7" t="s">
        <v>340</v>
      </c>
    </row>
    <row r="11" ht="27.75" customHeight="1">
      <c r="A11" s="7" t="s">
        <v>341</v>
      </c>
      <c r="B11" s="6" t="s">
        <v>342</v>
      </c>
      <c r="C11" s="7" t="s">
        <v>343</v>
      </c>
      <c r="D11" s="17"/>
      <c r="E11" s="7" t="s">
        <v>344</v>
      </c>
    </row>
    <row r="12" ht="27.75" customHeight="1">
      <c r="A12" s="7" t="s">
        <v>345</v>
      </c>
      <c r="B12" s="6" t="s">
        <v>346</v>
      </c>
      <c r="C12" s="7" t="s">
        <v>347</v>
      </c>
      <c r="D12" s="18"/>
      <c r="E12" s="7" t="s">
        <v>348</v>
      </c>
    </row>
    <row r="13" ht="27.75" customHeight="1">
      <c r="A13" s="7" t="s">
        <v>349</v>
      </c>
      <c r="B13" s="6" t="s">
        <v>350</v>
      </c>
      <c r="C13" s="7" t="s">
        <v>351</v>
      </c>
      <c r="D13" s="19"/>
      <c r="E13" s="7" t="s">
        <v>352</v>
      </c>
    </row>
    <row r="14" ht="27.75" customHeight="1">
      <c r="A14" s="7" t="s">
        <v>353</v>
      </c>
      <c r="B14" s="6" t="s">
        <v>354</v>
      </c>
      <c r="C14" s="7" t="s">
        <v>355</v>
      </c>
      <c r="D14" s="20"/>
      <c r="E14" s="7" t="s">
        <v>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